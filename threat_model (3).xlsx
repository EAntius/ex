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D76AE9D1-3A80-4A83-B74F-DA0010240A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" l="1"/>
  <c r="AG3" i="1"/>
  <c r="AG4" i="1"/>
  <c r="AG5" i="1"/>
  <c r="AG6" i="1"/>
  <c r="AG7" i="1"/>
  <c r="AG8" i="1"/>
  <c r="AG2" i="1"/>
  <c r="AH2" i="1" l="1"/>
</calcChain>
</file>

<file path=xl/sharedStrings.xml><?xml version="1.0" encoding="utf-8"?>
<sst xmlns="http://schemas.openxmlformats.org/spreadsheetml/2006/main" count="268" uniqueCount="99">
  <si>
    <t xml:space="preserve">ID </t>
  </si>
  <si>
    <t>Trust boundry crossing</t>
  </si>
  <si>
    <t>STRIDE </t>
  </si>
  <si>
    <t>Threat description </t>
  </si>
  <si>
    <t>Threat effect </t>
  </si>
  <si>
    <t>Attack vector</t>
  </si>
  <si>
    <t>Adversarial Capability</t>
  </si>
  <si>
    <t>User Interaction</t>
  </si>
  <si>
    <t>Privilage required</t>
  </si>
  <si>
    <t>Implact to Confidentiality</t>
  </si>
  <si>
    <t>Impact to Integrity</t>
  </si>
  <si>
    <t>Impact to Availability</t>
  </si>
  <si>
    <t>Scope</t>
  </si>
  <si>
    <t>Base CVSS Score</t>
  </si>
  <si>
    <t>Severity</t>
  </si>
  <si>
    <t>Security mitigatation</t>
  </si>
  <si>
    <t>Description</t>
  </si>
  <si>
    <t>Exploit Maturity</t>
  </si>
  <si>
    <t>Remedation Level</t>
  </si>
  <si>
    <t>Report Confidence</t>
  </si>
  <si>
    <t>Confidentiality Requirements</t>
  </si>
  <si>
    <t>Integrity Requirements</t>
  </si>
  <si>
    <t>Avaiability Requirements</t>
  </si>
  <si>
    <t>Modified Attack Vector (MAV)</t>
  </si>
  <si>
    <t>Modified Attack Complexity (MAC)</t>
  </si>
  <si>
    <t>Modified User Interaction (MUI)</t>
  </si>
  <si>
    <t>Modified Privilege Required (MPP)</t>
  </si>
  <si>
    <t>Modified Scope (MS)</t>
  </si>
  <si>
    <t>Modified Confidentiality (MC)</t>
  </si>
  <si>
    <t>Modified Integrity (MI)</t>
  </si>
  <si>
    <t>Modified Availability (MA)</t>
  </si>
  <si>
    <t>Final CVSS Score</t>
  </si>
  <si>
    <t>Lessened severity</t>
  </si>
  <si>
    <t>Mean shrink in severity</t>
  </si>
  <si>
    <t>Implant -&gt; TLS</t>
  </si>
  <si>
    <t>Spoof </t>
  </si>
  <si>
    <t>An adversary will introduce a new device into the local network, pretending to be a legitimate user</t>
  </si>
  <si>
    <t>Impersonation of a real user, establishing illegal connections</t>
  </si>
  <si>
    <t>Network (N)</t>
  </si>
  <si>
    <t>Low (L)</t>
  </si>
  <si>
    <t>None (N)</t>
  </si>
  <si>
    <t>High (H)</t>
  </si>
  <si>
    <t>Unchanged (U)</t>
  </si>
  <si>
    <t>High</t>
  </si>
  <si>
    <t>Mutual authentication control</t>
  </si>
  <si>
    <t>Control of both parties to ensure they are a part of the ecosystem</t>
  </si>
  <si>
    <t>Unproven (U)</t>
  </si>
  <si>
    <t>Workaround (W)</t>
  </si>
  <si>
    <t>Not defined (X)</t>
  </si>
  <si>
    <t>Medium (M)</t>
  </si>
  <si>
    <t>2 </t>
  </si>
  <si>
    <t>Hardware -&gt; User input</t>
  </si>
  <si>
    <t>EoP</t>
  </si>
  <si>
    <t xml:space="preserve">A legitimate user of an authorized device can try to get elevated privilege on device.  </t>
  </si>
  <si>
    <t>Unauthorized access level given to legitimate user </t>
  </si>
  <si>
    <t>Local (L)</t>
  </si>
  <si>
    <t>Required (R)</t>
  </si>
  <si>
    <t>Low</t>
  </si>
  <si>
    <t>Attributive based authentication enforcement, update verification</t>
  </si>
  <si>
    <t>User are identified based on attributes given to them in NFC tags. Updates to allowed users are checked for CA signiture</t>
  </si>
  <si>
    <t>Official fix (O)</t>
  </si>
  <si>
    <t>Reasonable (R)</t>
  </si>
  <si>
    <t>Tamper</t>
  </si>
  <si>
    <t xml:space="preserve">A legitimate user can possibly modify or delete locally stored data. </t>
  </si>
  <si>
    <t>Editing or destruction of locally stored data</t>
  </si>
  <si>
    <t>Medium</t>
  </si>
  <si>
    <t>Secure storage with integrity control, signiture</t>
  </si>
  <si>
    <t>Deny access to unauthorized users. (Assumes no destruction of hardware)</t>
  </si>
  <si>
    <t>DoS/ID/Spoof</t>
  </si>
  <si>
    <t>Adversaries can try to capture transmissions and tamper with its contents \cite{Merkle1979}</t>
  </si>
  <si>
    <t>Transmissions can be overloaded, save-and-decrypted and/or used in replay attack</t>
  </si>
  <si>
    <t>Mutual authentication control, rate limiting</t>
  </si>
  <si>
    <t>Mutual authentication control filters out adversarial connection attempts. Limit allowed communication</t>
  </si>
  <si>
    <t>Confirmed (C)</t>
  </si>
  <si>
    <t>Repudiation</t>
  </si>
  <si>
    <t xml:space="preserve">Third party messages might be sent to devices to alter data and logs. </t>
  </si>
  <si>
    <t>Altered data and/or logs can be forwarded through system, making it unclear what is true or false</t>
  </si>
  <si>
    <t>Integrity check, mutual authentication, append-only logs</t>
  </si>
  <si>
    <t>Only accepted messages comes after mutual authentication is complete. Integrity checks further up the chain then exists to ensure the validity of the data</t>
  </si>
  <si>
    <t>Unknown (U)</t>
  </si>
  <si>
    <t>Hardware -&gt; User</t>
  </si>
  <si>
    <t xml:space="preserve">Spoof </t>
  </si>
  <si>
    <t xml:space="preserve">Adversaries can attempt to sideload and run hostile software on devices. </t>
  </si>
  <si>
    <t>Device will be able to transmit software, data or execute arbitrary commands and/or instructions</t>
  </si>
  <si>
    <t>Changed (C)</t>
  </si>
  <si>
    <t>Update verification check</t>
  </si>
  <si>
    <t>Attempts to update firmware will be verifired to ensure they are from the system administrators and does not break current functions</t>
  </si>
  <si>
    <t>Information Disclosure</t>
  </si>
  <si>
    <t>Users of unauthorized access level will have access to device</t>
  </si>
  <si>
    <t>Locally stored information will be disclosed to unauthorized party</t>
  </si>
  <si>
    <t>Add user authentication control</t>
  </si>
  <si>
    <t>Unauthorized users are blocked from further accessing protected data</t>
  </si>
  <si>
    <t>Cloud service -&gt; NFC tag</t>
  </si>
  <si>
    <t>Adversaries might try to forge fake identities of a real service worker</t>
  </si>
  <si>
    <t>Adversaries can try to falsely identify themselves as real workers the system</t>
  </si>
  <si>
    <t>Physical (P)</t>
  </si>
  <si>
    <t>User authentication control</t>
  </si>
  <si>
    <t>User are authenticated to use specific devices in specific areas, based on access updates sent to machines signed by CA</t>
  </si>
  <si>
    <t>Low: 0.1-3.9 | Medium 4.0 - 6.9 | High 7.0 - 8.9 | Critical 9.0 - 10.0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</si>
</sst>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"/>
    </font>
    <font>
      <sz val="12"/>
      <color theme="1"/>
      <name val="Aptos"/>
    </font>
    <font>
      <sz val="12"/>
      <color rgb="FF242424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topLeftCell="Q2" workbookViewId="0">
      <selection activeCell="X9" sqref="X9"/>
    </sheetView>
  </sheetViews>
  <sheetFormatPr defaultRowHeight="50.25" customHeight="1"/>
  <cols>
    <col min="1" max="1" width="9.140625" style="6"/>
    <col min="2" max="2" width="16.42578125" style="1" customWidth="1"/>
    <col min="3" max="3" width="14.140625" style="1" customWidth="1"/>
    <col min="4" max="4" width="36.5703125" style="1" customWidth="1"/>
    <col min="5" max="5" width="42.85546875" style="1" customWidth="1"/>
    <col min="6" max="6" width="15.85546875" style="1" customWidth="1"/>
    <col min="7" max="7" width="11.7109375" style="1" customWidth="1"/>
    <col min="8" max="8" width="12.140625" style="1" customWidth="1"/>
    <col min="9" max="9" width="9.140625" style="1"/>
    <col min="10" max="10" width="15.28515625" style="1" customWidth="1"/>
    <col min="11" max="11" width="10.85546875" style="1" customWidth="1"/>
    <col min="12" max="12" width="12.140625" style="1" customWidth="1"/>
    <col min="13" max="13" width="12.28515625" style="1" customWidth="1"/>
    <col min="14" max="14" width="9.140625" style="1"/>
    <col min="15" max="15" width="23.42578125" style="1" customWidth="1"/>
    <col min="16" max="16" width="35.28515625" style="1" customWidth="1"/>
    <col min="17" max="17" width="55.5703125" style="1" customWidth="1"/>
    <col min="18" max="19" width="14.7109375" style="1" customWidth="1"/>
    <col min="20" max="20" width="12.85546875" style="1" customWidth="1"/>
    <col min="21" max="22" width="16.85546875" style="1" customWidth="1"/>
    <col min="23" max="23" width="15.42578125" style="1" customWidth="1"/>
    <col min="24" max="31" width="15.140625" style="1" customWidth="1"/>
    <col min="32" max="32" width="9.140625" style="1"/>
    <col min="33" max="33" width="10.85546875" style="1" customWidth="1"/>
    <col min="34" max="16384" width="9.140625" style="1"/>
  </cols>
  <sheetData>
    <row r="1" spans="1:34" ht="50.25" customHeight="1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50.25" customHeight="1">
      <c r="A2" s="5">
        <v>1</v>
      </c>
      <c r="B2" s="1" t="s">
        <v>34</v>
      </c>
      <c r="C2" s="4" t="s">
        <v>35</v>
      </c>
      <c r="D2" s="2" t="s">
        <v>36</v>
      </c>
      <c r="E2" s="4" t="s">
        <v>37</v>
      </c>
      <c r="F2" s="7" t="s">
        <v>38</v>
      </c>
      <c r="G2" s="1" t="s">
        <v>39</v>
      </c>
      <c r="H2" s="1" t="s">
        <v>40</v>
      </c>
      <c r="I2" s="1" t="s">
        <v>39</v>
      </c>
      <c r="J2" s="1" t="s">
        <v>41</v>
      </c>
      <c r="K2" s="1" t="s">
        <v>40</v>
      </c>
      <c r="L2" s="1" t="s">
        <v>39</v>
      </c>
      <c r="M2" s="1" t="s">
        <v>42</v>
      </c>
      <c r="N2" s="1">
        <v>7.1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39</v>
      </c>
      <c r="W2" s="1" t="s">
        <v>39</v>
      </c>
      <c r="X2" s="7" t="s">
        <v>38</v>
      </c>
      <c r="Y2" s="1" t="s">
        <v>41</v>
      </c>
      <c r="Z2" s="1" t="s">
        <v>40</v>
      </c>
      <c r="AA2" s="1" t="s">
        <v>41</v>
      </c>
      <c r="AB2" s="1" t="s">
        <v>42</v>
      </c>
      <c r="AC2" s="1" t="s">
        <v>41</v>
      </c>
      <c r="AD2" s="1" t="s">
        <v>40</v>
      </c>
      <c r="AE2" s="1" t="s">
        <v>39</v>
      </c>
      <c r="AF2" s="1">
        <v>6.5</v>
      </c>
      <c r="AG2" s="1">
        <f>N2-AF2</f>
        <v>0.59999999999999964</v>
      </c>
      <c r="AH2" s="1">
        <f>AVERAGEA(AG2:AG9)</f>
        <v>1.2625</v>
      </c>
    </row>
    <row r="3" spans="1:34" ht="51" customHeight="1">
      <c r="A3" s="5" t="s">
        <v>50</v>
      </c>
      <c r="B3" s="1" t="s">
        <v>51</v>
      </c>
      <c r="C3" s="4" t="s">
        <v>52</v>
      </c>
      <c r="D3" s="4" t="s">
        <v>53</v>
      </c>
      <c r="E3" s="4" t="s">
        <v>54</v>
      </c>
      <c r="F3" s="1" t="s">
        <v>55</v>
      </c>
      <c r="G3" s="1" t="s">
        <v>39</v>
      </c>
      <c r="H3" s="1" t="s">
        <v>56</v>
      </c>
      <c r="I3" s="1" t="s">
        <v>39</v>
      </c>
      <c r="J3" s="1" t="s">
        <v>39</v>
      </c>
      <c r="K3" s="1" t="s">
        <v>40</v>
      </c>
      <c r="L3" s="1" t="s">
        <v>40</v>
      </c>
      <c r="M3" s="1" t="s">
        <v>42</v>
      </c>
      <c r="N3" s="1">
        <v>3.9</v>
      </c>
      <c r="O3" s="1" t="s">
        <v>57</v>
      </c>
      <c r="P3" s="1" t="s">
        <v>58</v>
      </c>
      <c r="Q3" s="1" t="s">
        <v>59</v>
      </c>
      <c r="R3" s="1" t="s">
        <v>46</v>
      </c>
      <c r="S3" s="1" t="s">
        <v>60</v>
      </c>
      <c r="T3" s="1" t="s">
        <v>61</v>
      </c>
      <c r="U3" s="1" t="s">
        <v>49</v>
      </c>
      <c r="V3" s="1" t="s">
        <v>39</v>
      </c>
      <c r="W3" s="1" t="s">
        <v>39</v>
      </c>
      <c r="X3" s="1" t="s">
        <v>55</v>
      </c>
      <c r="Y3" s="1" t="s">
        <v>41</v>
      </c>
      <c r="Z3" s="1" t="s">
        <v>56</v>
      </c>
      <c r="AA3" s="1" t="s">
        <v>39</v>
      </c>
      <c r="AB3" s="1" t="s">
        <v>42</v>
      </c>
      <c r="AC3" s="1" t="s">
        <v>39</v>
      </c>
      <c r="AD3" s="1" t="s">
        <v>40</v>
      </c>
      <c r="AE3" s="1" t="s">
        <v>40</v>
      </c>
      <c r="AF3" s="1">
        <v>2.8</v>
      </c>
      <c r="AG3" s="1">
        <f>N3-AF3</f>
        <v>1.1000000000000001</v>
      </c>
    </row>
    <row r="4" spans="1:34" ht="50.25" customHeight="1">
      <c r="A4" s="5">
        <v>3</v>
      </c>
      <c r="B4" s="1" t="s">
        <v>51</v>
      </c>
      <c r="C4" s="4" t="s">
        <v>62</v>
      </c>
      <c r="D4" s="2" t="s">
        <v>63</v>
      </c>
      <c r="E4" s="4" t="s">
        <v>64</v>
      </c>
      <c r="F4" s="1" t="s">
        <v>55</v>
      </c>
      <c r="G4" s="1" t="s">
        <v>39</v>
      </c>
      <c r="H4" s="1" t="s">
        <v>40</v>
      </c>
      <c r="I4" s="1" t="s">
        <v>40</v>
      </c>
      <c r="J4" s="1" t="s">
        <v>40</v>
      </c>
      <c r="K4" s="1" t="s">
        <v>39</v>
      </c>
      <c r="L4" s="1" t="s">
        <v>39</v>
      </c>
      <c r="M4" s="1" t="s">
        <v>42</v>
      </c>
      <c r="N4" s="1">
        <v>5.0999999999999996</v>
      </c>
      <c r="O4" s="1" t="s">
        <v>65</v>
      </c>
      <c r="P4" s="1" t="s">
        <v>66</v>
      </c>
      <c r="Q4" s="1" t="s">
        <v>67</v>
      </c>
      <c r="R4" s="1" t="s">
        <v>48</v>
      </c>
      <c r="S4" s="1" t="s">
        <v>47</v>
      </c>
      <c r="T4" s="1" t="s">
        <v>61</v>
      </c>
      <c r="U4" s="1" t="s">
        <v>39</v>
      </c>
      <c r="V4" s="1" t="s">
        <v>49</v>
      </c>
      <c r="W4" s="1" t="s">
        <v>39</v>
      </c>
      <c r="X4" s="1" t="s">
        <v>55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40</v>
      </c>
      <c r="AD4" s="1" t="s">
        <v>39</v>
      </c>
      <c r="AE4" s="1" t="s">
        <v>39</v>
      </c>
      <c r="AF4" s="1">
        <v>4.5999999999999996</v>
      </c>
      <c r="AG4" s="1">
        <f>N4-AF4</f>
        <v>0.5</v>
      </c>
    </row>
    <row r="5" spans="1:34" ht="50.25" customHeight="1">
      <c r="A5" s="5">
        <v>4</v>
      </c>
      <c r="B5" s="1" t="s">
        <v>34</v>
      </c>
      <c r="C5" s="4" t="s">
        <v>68</v>
      </c>
      <c r="D5" s="2" t="s">
        <v>69</v>
      </c>
      <c r="E5" s="4" t="s">
        <v>70</v>
      </c>
      <c r="F5" s="1" t="s">
        <v>38</v>
      </c>
      <c r="G5" s="1" t="s">
        <v>41</v>
      </c>
      <c r="H5" s="1" t="s">
        <v>40</v>
      </c>
      <c r="I5" s="1" t="s">
        <v>40</v>
      </c>
      <c r="J5" s="1" t="s">
        <v>40</v>
      </c>
      <c r="K5" s="1" t="s">
        <v>40</v>
      </c>
      <c r="L5" s="1" t="s">
        <v>39</v>
      </c>
      <c r="M5" s="1" t="s">
        <v>42</v>
      </c>
      <c r="N5" s="1">
        <v>5.3</v>
      </c>
      <c r="O5" s="1" t="s">
        <v>65</v>
      </c>
      <c r="P5" s="1" t="s">
        <v>71</v>
      </c>
      <c r="Q5" s="1" t="s">
        <v>72</v>
      </c>
      <c r="R5" s="1" t="s">
        <v>46</v>
      </c>
      <c r="S5" s="1" t="s">
        <v>60</v>
      </c>
      <c r="T5" s="1" t="s">
        <v>73</v>
      </c>
      <c r="U5" s="1" t="s">
        <v>49</v>
      </c>
      <c r="V5" s="1" t="s">
        <v>39</v>
      </c>
      <c r="W5" s="1" t="s">
        <v>49</v>
      </c>
      <c r="X5" s="1" t="s">
        <v>38</v>
      </c>
      <c r="Y5" s="1" t="s">
        <v>41</v>
      </c>
      <c r="Z5" s="1" t="s">
        <v>40</v>
      </c>
      <c r="AA5" s="1" t="s">
        <v>41</v>
      </c>
      <c r="AB5" s="1" t="s">
        <v>42</v>
      </c>
      <c r="AC5" s="1" t="s">
        <v>40</v>
      </c>
      <c r="AD5" s="1" t="s">
        <v>40</v>
      </c>
      <c r="AE5" s="1" t="s">
        <v>39</v>
      </c>
      <c r="AF5" s="1">
        <v>3.6</v>
      </c>
      <c r="AG5" s="1">
        <f>N5-AF5</f>
        <v>1.6999999999999997</v>
      </c>
    </row>
    <row r="6" spans="1:34" ht="50.25" customHeight="1">
      <c r="A6" s="6">
        <v>5</v>
      </c>
      <c r="B6" s="1" t="s">
        <v>34</v>
      </c>
      <c r="C6" s="3" t="s">
        <v>74</v>
      </c>
      <c r="D6" s="3" t="s">
        <v>75</v>
      </c>
      <c r="E6" s="3" t="s">
        <v>76</v>
      </c>
      <c r="F6" s="1" t="s">
        <v>38</v>
      </c>
      <c r="G6" s="1" t="s">
        <v>41</v>
      </c>
      <c r="H6" s="1" t="s">
        <v>40</v>
      </c>
      <c r="I6" s="1" t="s">
        <v>40</v>
      </c>
      <c r="J6" s="1" t="s">
        <v>40</v>
      </c>
      <c r="K6" s="1" t="s">
        <v>39</v>
      </c>
      <c r="L6" s="1" t="s">
        <v>40</v>
      </c>
      <c r="M6" s="1" t="s">
        <v>42</v>
      </c>
      <c r="N6" s="1">
        <v>5.3</v>
      </c>
      <c r="O6" s="1" t="s">
        <v>65</v>
      </c>
      <c r="P6" s="1" t="s">
        <v>77</v>
      </c>
      <c r="Q6" s="1" t="s">
        <v>78</v>
      </c>
      <c r="R6" s="1" t="s">
        <v>46</v>
      </c>
      <c r="S6" s="1" t="s">
        <v>60</v>
      </c>
      <c r="T6" s="1" t="s">
        <v>79</v>
      </c>
      <c r="U6" s="1" t="s">
        <v>39</v>
      </c>
      <c r="V6" s="1" t="s">
        <v>49</v>
      </c>
      <c r="W6" s="1" t="s">
        <v>39</v>
      </c>
      <c r="X6" s="1" t="s">
        <v>38</v>
      </c>
      <c r="Y6" s="1" t="s">
        <v>41</v>
      </c>
      <c r="Z6" s="1" t="s">
        <v>40</v>
      </c>
      <c r="AA6" s="1" t="s">
        <v>39</v>
      </c>
      <c r="AB6" s="1" t="s">
        <v>42</v>
      </c>
      <c r="AC6" s="1" t="s">
        <v>40</v>
      </c>
      <c r="AD6" s="1" t="s">
        <v>39</v>
      </c>
      <c r="AE6" s="1" t="s">
        <v>40</v>
      </c>
      <c r="AF6" s="1">
        <v>3.6</v>
      </c>
      <c r="AG6" s="1">
        <f>N6-AF6</f>
        <v>1.6999999999999997</v>
      </c>
    </row>
    <row r="7" spans="1:34" ht="66.75" customHeight="1">
      <c r="A7" s="6">
        <v>6</v>
      </c>
      <c r="B7" s="1" t="s">
        <v>80</v>
      </c>
      <c r="C7" s="3" t="s">
        <v>81</v>
      </c>
      <c r="D7" s="3" t="s">
        <v>82</v>
      </c>
      <c r="E7" s="3" t="s">
        <v>83</v>
      </c>
      <c r="F7" s="1" t="s">
        <v>55</v>
      </c>
      <c r="G7" s="1" t="s">
        <v>41</v>
      </c>
      <c r="H7" s="1" t="s">
        <v>40</v>
      </c>
      <c r="I7" s="1" t="s">
        <v>40</v>
      </c>
      <c r="J7" s="1" t="s">
        <v>39</v>
      </c>
      <c r="K7" s="1" t="s">
        <v>39</v>
      </c>
      <c r="L7" s="1" t="s">
        <v>39</v>
      </c>
      <c r="M7" s="1" t="s">
        <v>84</v>
      </c>
      <c r="N7" s="1">
        <v>6.2</v>
      </c>
      <c r="O7" s="1" t="s">
        <v>65</v>
      </c>
      <c r="P7" s="1" t="s">
        <v>85</v>
      </c>
      <c r="Q7" s="1" t="s">
        <v>86</v>
      </c>
      <c r="R7" s="1" t="s">
        <v>46</v>
      </c>
      <c r="S7" s="1" t="s">
        <v>60</v>
      </c>
      <c r="T7" s="1" t="s">
        <v>79</v>
      </c>
      <c r="U7" s="1" t="s">
        <v>39</v>
      </c>
      <c r="V7" s="1" t="s">
        <v>49</v>
      </c>
      <c r="W7" s="1" t="s">
        <v>49</v>
      </c>
      <c r="X7" s="1" t="s">
        <v>55</v>
      </c>
      <c r="Y7" s="1" t="s">
        <v>41</v>
      </c>
      <c r="Z7" s="1" t="s">
        <v>40</v>
      </c>
      <c r="AA7" s="1" t="s">
        <v>40</v>
      </c>
      <c r="AB7" s="1" t="s">
        <v>84</v>
      </c>
      <c r="AC7" s="1" t="s">
        <v>39</v>
      </c>
      <c r="AD7" s="1" t="s">
        <v>39</v>
      </c>
      <c r="AE7" s="1" t="s">
        <v>39</v>
      </c>
      <c r="AF7" s="1">
        <v>5.3</v>
      </c>
      <c r="AG7" s="1">
        <f>N7-AF7</f>
        <v>0.90000000000000036</v>
      </c>
    </row>
    <row r="8" spans="1:34" ht="50.25" customHeight="1">
      <c r="A8" s="6">
        <v>7</v>
      </c>
      <c r="B8" s="1" t="s">
        <v>51</v>
      </c>
      <c r="C8" s="1" t="s">
        <v>87</v>
      </c>
      <c r="D8" s="1" t="s">
        <v>88</v>
      </c>
      <c r="E8" s="1" t="s">
        <v>89</v>
      </c>
      <c r="F8" s="1" t="s">
        <v>55</v>
      </c>
      <c r="G8" s="1" t="s">
        <v>39</v>
      </c>
      <c r="H8" s="1" t="s">
        <v>40</v>
      </c>
      <c r="I8" s="1" t="s">
        <v>39</v>
      </c>
      <c r="J8" s="1" t="s">
        <v>39</v>
      </c>
      <c r="K8" s="1" t="s">
        <v>40</v>
      </c>
      <c r="L8" s="1" t="s">
        <v>40</v>
      </c>
      <c r="M8" s="1" t="s">
        <v>42</v>
      </c>
      <c r="N8" s="1">
        <v>4.3</v>
      </c>
      <c r="O8" s="1" t="s">
        <v>65</v>
      </c>
      <c r="P8" s="1" t="s">
        <v>90</v>
      </c>
      <c r="Q8" s="1" t="s">
        <v>91</v>
      </c>
      <c r="R8" s="1" t="s">
        <v>48</v>
      </c>
      <c r="S8" s="1" t="s">
        <v>47</v>
      </c>
      <c r="T8" s="1" t="s">
        <v>48</v>
      </c>
      <c r="U8" s="1" t="s">
        <v>49</v>
      </c>
      <c r="V8" s="1" t="s">
        <v>39</v>
      </c>
      <c r="W8" s="1" t="s">
        <v>39</v>
      </c>
      <c r="X8" s="1" t="s">
        <v>55</v>
      </c>
      <c r="Y8" s="1" t="s">
        <v>41</v>
      </c>
      <c r="Z8" s="1" t="s">
        <v>40</v>
      </c>
      <c r="AA8" s="1" t="s">
        <v>41</v>
      </c>
      <c r="AB8" s="1" t="s">
        <v>42</v>
      </c>
      <c r="AC8" s="1" t="s">
        <v>39</v>
      </c>
      <c r="AD8" s="1" t="s">
        <v>40</v>
      </c>
      <c r="AE8" s="1" t="s">
        <v>40</v>
      </c>
      <c r="AF8" s="1">
        <v>3.5</v>
      </c>
      <c r="AG8" s="1">
        <f>N8-AF8</f>
        <v>0.79999999999999982</v>
      </c>
    </row>
    <row r="9" spans="1:34" ht="50.25" customHeight="1">
      <c r="A9" s="9">
        <v>8</v>
      </c>
      <c r="B9" s="4" t="s">
        <v>92</v>
      </c>
      <c r="C9" s="10" t="s">
        <v>81</v>
      </c>
      <c r="D9" s="10" t="s">
        <v>93</v>
      </c>
      <c r="E9" s="10" t="s">
        <v>94</v>
      </c>
      <c r="F9" s="10" t="s">
        <v>95</v>
      </c>
      <c r="G9" s="10" t="s">
        <v>41</v>
      </c>
      <c r="H9" s="10" t="s">
        <v>40</v>
      </c>
      <c r="I9" s="10" t="s">
        <v>39</v>
      </c>
      <c r="J9" s="10" t="s">
        <v>41</v>
      </c>
      <c r="K9" s="10" t="s">
        <v>40</v>
      </c>
      <c r="L9" s="10" t="s">
        <v>40</v>
      </c>
      <c r="M9" s="10" t="s">
        <v>84</v>
      </c>
      <c r="N9" s="10">
        <v>4.7</v>
      </c>
      <c r="O9" s="10" t="s">
        <v>65</v>
      </c>
      <c r="P9" s="10" t="s">
        <v>96</v>
      </c>
      <c r="Q9" s="1" t="s">
        <v>97</v>
      </c>
      <c r="R9" s="1" t="s">
        <v>48</v>
      </c>
      <c r="S9" s="1" t="s">
        <v>60</v>
      </c>
      <c r="T9" s="1" t="s">
        <v>79</v>
      </c>
      <c r="U9" s="1" t="s">
        <v>49</v>
      </c>
      <c r="V9" s="1" t="s">
        <v>39</v>
      </c>
      <c r="W9" s="1" t="s">
        <v>39</v>
      </c>
      <c r="X9" s="1" t="s">
        <v>95</v>
      </c>
      <c r="Y9" s="1" t="s">
        <v>41</v>
      </c>
      <c r="Z9" s="1" t="s">
        <v>40</v>
      </c>
      <c r="AA9" s="1" t="s">
        <v>41</v>
      </c>
      <c r="AB9" s="1" t="s">
        <v>42</v>
      </c>
      <c r="AC9" s="1" t="s">
        <v>39</v>
      </c>
      <c r="AD9" s="1" t="s">
        <v>40</v>
      </c>
      <c r="AE9" s="1" t="s">
        <v>40</v>
      </c>
      <c r="AF9" s="1">
        <v>1.9</v>
      </c>
      <c r="AG9" s="1">
        <f>N9-AF9</f>
        <v>2.8000000000000003</v>
      </c>
    </row>
    <row r="10" spans="1:34" ht="50.25" customHeight="1">
      <c r="B10" s="4"/>
      <c r="O10" s="8" t="s">
        <v>98</v>
      </c>
    </row>
    <row r="11" spans="1:34" ht="50.25" customHeight="1">
      <c r="B11" s="4"/>
    </row>
    <row r="12" spans="1:34" ht="133.5" customHeight="1">
      <c r="B12" s="4"/>
    </row>
    <row r="13" spans="1:34" ht="126.75" customHeight="1">
      <c r="B13" s="4"/>
    </row>
    <row r="14" spans="1:34" ht="50.25" customHeight="1">
      <c r="B14" s="3"/>
    </row>
    <row r="15" spans="1:34" ht="50.25" customHeight="1">
      <c r="B15" s="3"/>
    </row>
    <row r="16" spans="1:34" ht="50.25" customHeight="1">
      <c r="B16" s="3"/>
    </row>
  </sheetData>
  <conditionalFormatting sqref="N2:N9 AF2:AF9">
    <cfRule type="cellIs" dxfId="2" priority="4" stopIfTrue="1" operator="lessThanOrEqual">
      <formula>3.9</formula>
    </cfRule>
  </conditionalFormatting>
  <conditionalFormatting sqref="N2:N9 AF2:AF9">
    <cfRule type="cellIs" dxfId="1" priority="5" stopIfTrue="1" operator="lessThanOrEqual">
      <formula>6.9</formula>
    </cfRule>
  </conditionalFormatting>
  <conditionalFormatting sqref="N2:N9 AF2:AF9">
    <cfRule type="cellIs" dxfId="0" priority="6" stopIfTrue="1" operator="lessThanOrEqual">
      <formula>8.9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2026-03-06T08:01:49Z</dcterms:created>
  <dcterms:modified xsi:type="dcterms:W3CDTF">2026-06-15T17:11:38Z</dcterms:modified>
  <cp:category/>
  <cp:contentStatus/>
</cp:coreProperties>
</file>